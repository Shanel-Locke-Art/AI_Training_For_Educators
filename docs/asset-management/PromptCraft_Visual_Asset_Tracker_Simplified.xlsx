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2038d08b1c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1de4ac068d6477f"/>
    <x:sheet xmlns:r="http://schemas.openxmlformats.org/officeDocument/2006/relationships" name="Visual Assets" sheetId="2" r:id="R6d1808cea77349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14233B"/>
      <x:name val="Carlito"/>
    </x:font>
    <x:font>
      <x:b/>
      <x:sz val="9"/>
      <x:color rgb="FF61748A"/>
      <x:name val="Carlito"/>
    </x:font>
    <x:font>
      <x:b/>
      <x:sz val="20"/>
      <x:color rgb="FF0B2348"/>
      <x:name val="Carlito"/>
    </x:font>
    <x:font>
      <x:b/>
      <x:sz val="1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2348"/>
      </x:patternFill>
    </x:fill>
    <x:fill>
      <x:patternFill patternType="solid">
        <x:fgColor rgb="FFEAF4FB"/>
      </x:patternFill>
    </x:fill>
    <x:fill>
      <x:patternFill patternType="solid">
        <x:fgColor rgb="FFFBF7ED"/>
      </x:patternFill>
    </x:fill>
  </x:fills>
  <x:borders count="6">
    <x:border/>
    <x:border/>
    <x:border>
      <x:bottom/>
    </x:border>
    <x:border>
      <x:bottom/>
    </x:border>
    <x:border>
      <x:bottom/>
    </x:border>
    <x:border>
      <x:bottom/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left" wrapText="1"/>
    </x:xf>
    <x:xf numFmtId="0" fontId="5" fillId="2" borderId="2" xfId="0" applyNumberFormat="1" applyFont="1" applyFill="1" applyBorder="1" applyAlignment="1">
      <x:alignment horizontal="left" vertical="center" wrapText="1"/>
    </x:xf>
    <x:xf numFmtId="0" fontId="5" fillId="2" borderId="1" xfId="0" applyNumberFormat="1" applyFont="1" applyFill="1" applyBorder="1"/>
    <x:xf numFmtId="0" fontId="5" fillId="2" borderId="3" xfId="0" applyNumberFormat="1" applyFont="1" applyFill="1" applyBorder="1"/>
    <x:xf numFmtId="0" fontId="5" fillId="2" borderId="3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horizontal="left" wrapText="1"/>
    </x:xf>
    <x:xf numFmtId="0" fontId="5" fillId="2" borderId="3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245A3A"/>
      </x:font>
      <x:fill>
        <x:patternFill patternType="solid">
          <x:bgColor rgb="FFE7F4EC"/>
        </x:patternFill>
      </x:fill>
    </x:dxf>
    <x:dxf>
      <x:font>
        <x:b/>
        <x:color rgb="FF9A5B00"/>
      </x:font>
      <x:fill>
        <x:patternFill patternType="solid">
          <x:bgColor rgb="FFFFF0DE"/>
        </x:patternFill>
      </x:fill>
    </x:dxf>
    <x:dxf>
      <x:font>
        <x:color rgb="FF14233B"/>
      </x:font>
      <x:fill>
        <x:patternFill patternType="solid">
          <x:bgColor rgb="FFF2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04750ce66f4554" /><Relationship Type="http://schemas.openxmlformats.org/officeDocument/2006/relationships/theme" Target="/xl/theme/theme1.xml" Id="R82d0302b847a42ef" /><Relationship Type="http://schemas.openxmlformats.org/officeDocument/2006/relationships/sharedStrings" Target="/xl/sharedStrings.xml" Id="Rdf85206c5ef24f13" /><Relationship Type="http://schemas.openxmlformats.org/officeDocument/2006/relationships/worksheet" Target="/xl/worksheets/sheet1.xml" Id="R71de4ac068d6477f" /><Relationship Type="http://schemas.openxmlformats.org/officeDocument/2006/relationships/worksheet" Target="/xl/worksheets/sheet2.xml" Id="R6d1808cea773498f" /></Relationships>
</file>

<file path=xl/tables/table1.xml><?xml version="1.0" encoding="utf-8"?>
<x:table xmlns:x="http://schemas.openxmlformats.org/spreadsheetml/2006/main" id="1" name="VisualAssetsTable" displayName="VisualAssetsTable" ref="A4:H73" headerRowCount="1" totalsRowCount="0" totalsRowShown="0">
  <x:tableColumns count="8">
    <x:tableColumn id="1" name="Asset"/>
    <x:tableColumn id="2" name="Category"/>
    <x:tableColumn id="3" name="Scenario / Use"/>
    <x:tableColumn id="4" name="Path"/>
    <x:tableColumn id="5" name="Status"/>
    <x:tableColumn id="6" name="Priority"/>
    <x:tableColumn id="7" name="Needs Update?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2c5900d8504328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</x:cols>
  <x:sheetData>
    <x:row r="1" ht="30" customHeight="1">
      <x:c r="A1" s="48" t="str">
        <x:v>PromptCraft Visual Asset Tracker</x:v>
      </x:c>
      <x:c r="B1" s="48"/>
      <x:c r="C1" s="48"/>
      <x:c r="D1" s="48"/>
      <x:c r="E1" s="48"/>
      <x:c r="F1" s="48"/>
      <x:c r="G1" s="48"/>
      <x:c r="H1" s="48"/>
    </x:row>
    <x:row r="2" ht="28" customHeight="1">
      <x:c r="A2" s="11" t="str">
        <x:v>Simplified production view for current, planned, and reference visual assets. Baseline: PROMPTCRAFT_V429.</x:v>
      </x:c>
      <x:c r="B2" s="11"/>
      <x:c r="C2" s="11"/>
      <x:c r="D2" s="11"/>
      <x:c r="E2" s="11"/>
      <x:c r="F2" s="11"/>
      <x:c r="G2" s="11"/>
      <x:c r="H2" s="11"/>
    </x:row>
    <x:row r="3">
      <x:c r="A3" s="49"/>
      <x:c r="B3" s="49"/>
      <x:c r="C3" s="49"/>
      <x:c r="D3" s="49"/>
      <x:c r="E3" s="49"/>
      <x:c r="F3" s="49"/>
      <x:c r="G3" s="49"/>
      <x:c r="H3" s="49"/>
    </x:row>
    <x:row r="4">
      <x:c r="A4" s="50" t="str">
        <x:v>In Use</x:v>
      </x:c>
      <x:c r="B4" s="49" t="str"/>
      <x:c r="C4" s="50" t="str">
        <x:v>Planned</x:v>
      </x:c>
      <x:c r="D4" s="49" t="str"/>
      <x:c r="E4" s="50" t="str">
        <x:v>Not Started</x:v>
      </x:c>
      <x:c r="F4" s="49" t="str"/>
      <x:c r="G4" s="50" t="str">
        <x:v>Reference</x:v>
      </x:c>
      <x:c r="H4" s="49" t="str"/>
    </x:row>
    <x:row r="5" ht="36" customHeight="1">
      <x:c r="A5" s="51" t="n">
        <x:f>COUNTIF('Visual Assets'!E:E,"In Use")</x:f>
        <x:v>28</x:v>
      </x:c>
      <x:c r="B5" s="49"/>
      <x:c r="C5" s="51" t="n">
        <x:f>COUNTIF('Visual Assets'!E:E,"Planned")</x:f>
        <x:v>2</x:v>
      </x:c>
      <x:c r="D5" s="49"/>
      <x:c r="E5" s="51" t="n">
        <x:f>COUNTIF('Visual Assets'!E:E,"Not Started")</x:f>
        <x:v>30</x:v>
      </x:c>
      <x:c r="F5" s="49"/>
      <x:c r="G5" s="51" t="n">
        <x:f>COUNTIF('Visual Assets'!E:E,"Reference Only")</x:f>
        <x:v>8</x:v>
      </x:c>
      <x:c r="H5" s="49"/>
    </x:row>
    <x:row r="6">
      <x:c r="A6" s="49"/>
      <x:c r="B6" s="49"/>
      <x:c r="C6" s="49"/>
      <x:c r="D6" s="49"/>
      <x:c r="E6" s="49"/>
      <x:c r="F6" s="49"/>
      <x:c r="G6" s="49"/>
      <x:c r="H6" s="49"/>
    </x:row>
    <x:row r="7">
      <x:c r="A7" s="49"/>
      <x:c r="B7" s="49"/>
      <x:c r="C7" s="49"/>
      <x:c r="D7" s="49"/>
      <x:c r="E7" s="49"/>
      <x:c r="F7" s="49"/>
      <x:c r="G7" s="49"/>
      <x:c r="H7" s="49"/>
    </x:row>
    <x:row r="8" ht="15" hidden="0" customHeight="1">
      <x:c r="A8" s="30" t="str">
        <x:v>Category</x:v>
      </x:c>
      <x:c r="B8" s="30" t="str">
        <x:v>Total</x:v>
      </x:c>
      <x:c r="C8" s="30" t="str">
        <x:v>In Use</x:v>
      </x:c>
      <x:c r="D8" s="30" t="str">
        <x:v>To Do</x:v>
      </x:c>
      <x:c r="E8" s="49"/>
      <x:c r="F8" s="49"/>
      <x:c r="G8" s="49"/>
      <x:c r="H8" s="49"/>
    </x:row>
    <x:row r="9" ht="24" hidden="0" customHeight="1">
      <x:c r="A9" s="40" t="str">
        <x:v>Background</x:v>
      </x:c>
      <x:c r="B9" s="40" t="n">
        <x:f>COUNTIF('Visual Assets'!B:B,A9)</x:f>
        <x:v>5</x:v>
      </x:c>
      <x:c r="C9" s="40" t="n">
        <x:f>COUNTIFS('Visual Assets'!B:B,A9,'Visual Assets'!E:E,"In Use")</x:f>
        <x:v>5</x:v>
      </x:c>
      <x:c r="D9" s="40" t="n">
        <x:f>COUNTIFS('Visual Assets'!B:B,A9,'Visual Assets'!E:E,"&lt;&gt;In Use",'Visual Assets'!E:E,"&lt;&gt;Reference Only",'Visual Assets'!E:E,"&lt;&gt;Not Required")</x:f>
        <x:v>0</x:v>
      </x:c>
      <x:c r="E9" s="49"/>
      <x:c r="F9" s="49"/>
      <x:c r="G9" s="49"/>
      <x:c r="H9" s="49"/>
    </x:row>
    <x:row r="10" ht="24" hidden="0" customHeight="1">
      <x:c r="A10" s="40" t="str">
        <x:v>Brand / Print</x:v>
      </x:c>
      <x:c r="B10" s="40" t="n">
        <x:f>COUNTIF('Visual Assets'!B:B,A10)</x:f>
        <x:v>1</x:v>
      </x:c>
      <x:c r="C10" s="40" t="n">
        <x:f>COUNTIFS('Visual Assets'!B:B,A10,'Visual Assets'!E:E,"In Use")</x:f>
        <x:v>1</x:v>
      </x:c>
      <x:c r="D10" s="40" t="n">
        <x:f>COUNTIFS('Visual Assets'!B:B,A10,'Visual Assets'!E:E,"&lt;&gt;In Use",'Visual Assets'!E:E,"&lt;&gt;Reference Only",'Visual Assets'!E:E,"&lt;&gt;Not Required")</x:f>
        <x:v>0</x:v>
      </x:c>
      <x:c r="E10" s="49"/>
      <x:c r="F10" s="49"/>
      <x:c r="G10" s="49"/>
      <x:c r="H10" s="49"/>
    </x:row>
    <x:row r="11" ht="15" hidden="0" customHeight="1">
      <x:c r="A11" s="40" t="str">
        <x:v>Character</x:v>
      </x:c>
      <x:c r="B11" s="40" t="n">
        <x:f>COUNTIF('Visual Assets'!B:B,A11)</x:f>
        <x:v>6</x:v>
      </x:c>
      <x:c r="C11" s="40" t="n">
        <x:f>COUNTIFS('Visual Assets'!B:B,A11,'Visual Assets'!E:E,"In Use")</x:f>
        <x:v>6</x:v>
      </x:c>
      <x:c r="D11" s="40" t="n">
        <x:f>COUNTIFS('Visual Assets'!B:B,A11,'Visual Assets'!E:E,"&lt;&gt;In Use",'Visual Assets'!E:E,"&lt;&gt;Reference Only",'Visual Assets'!E:E,"&lt;&gt;Not Required")</x:f>
        <x:v>0</x:v>
      </x:c>
      <x:c r="E11" s="49"/>
      <x:c r="F11" s="49"/>
      <x:c r="G11" s="49"/>
      <x:c r="H11" s="49"/>
    </x:row>
    <x:row r="12" ht="24" hidden="0" customHeight="1">
      <x:c r="A12" s="40" t="str">
        <x:v>Character reference</x:v>
      </x:c>
      <x:c r="B12" s="40" t="n">
        <x:f>COUNTIF('Visual Assets'!B:B,A12)</x:f>
        <x:v>7</x:v>
      </x:c>
      <x:c r="C12" s="40" t="n">
        <x:f>COUNTIFS('Visual Assets'!B:B,A12,'Visual Assets'!E:E,"In Use")</x:f>
        <x:v>0</x:v>
      </x:c>
      <x:c r="D12" s="40" t="n">
        <x:f>COUNTIFS('Visual Assets'!B:B,A12,'Visual Assets'!E:E,"&lt;&gt;In Use",'Visual Assets'!E:E,"&lt;&gt;Reference Only",'Visual Assets'!E:E,"&lt;&gt;Not Required")</x:f>
        <x:v>0</x:v>
      </x:c>
      <x:c r="E12" s="49"/>
      <x:c r="F12" s="49"/>
      <x:c r="G12" s="49"/>
      <x:c r="H12" s="49"/>
    </x:row>
    <x:row r="13" ht="15" hidden="0" customHeight="1">
      <x:c r="A13" s="40" t="str">
        <x:v>Scene art</x:v>
      </x:c>
      <x:c r="B13" s="40" t="n">
        <x:f>COUNTIF('Visual Assets'!B:B,A13)</x:f>
        <x:v>9</x:v>
      </x:c>
      <x:c r="C13" s="40" t="n">
        <x:f>COUNTIFS('Visual Assets'!B:B,A13,'Visual Assets'!E:E,"In Use")</x:f>
        <x:v>7</x:v>
      </x:c>
      <x:c r="D13" s="40" t="n">
        <x:f>COUNTIFS('Visual Assets'!B:B,A13,'Visual Assets'!E:E,"&lt;&gt;In Use",'Visual Assets'!E:E,"&lt;&gt;Reference Only",'Visual Assets'!E:E,"&lt;&gt;Not Required")</x:f>
        <x:v>2</x:v>
      </x:c>
      <x:c r="E13" s="49"/>
      <x:c r="F13" s="49"/>
      <x:c r="G13" s="49"/>
      <x:c r="H13" s="49"/>
    </x:row>
    <x:row r="14" ht="24" hidden="0" customHeight="1">
      <x:c r="A14" s="40" t="str">
        <x:v>Student portrait</x:v>
      </x:c>
      <x:c r="B14" s="40" t="n">
        <x:f>COUNTIF('Visual Assets'!B:B,A14)</x:f>
        <x:v>36</x:v>
      </x:c>
      <x:c r="C14" s="40" t="n">
        <x:f>COUNTIFS('Visual Assets'!B:B,A14,'Visual Assets'!E:E,"In Use")</x:f>
        <x:v>5</x:v>
      </x:c>
      <x:c r="D14" s="40" t="n">
        <x:f>COUNTIFS('Visual Assets'!B:B,A14,'Visual Assets'!E:E,"&lt;&gt;In Use",'Visual Assets'!E:E,"&lt;&gt;Reference Only",'Visual Assets'!E:E,"&lt;&gt;Not Required")</x:f>
        <x:v>30</x:v>
      </x:c>
      <x:c r="E14" s="49"/>
      <x:c r="F14" s="49"/>
      <x:c r="G14" s="49"/>
      <x:c r="H14" s="49"/>
    </x:row>
    <x:row r="15" ht="24" hidden="0" customHeight="1">
      <x:c r="A15" s="40" t="str">
        <x:v>UI / Babbage</x:v>
      </x:c>
      <x:c r="B15" s="40" t="n">
        <x:f>COUNTIF('Visual Assets'!B:B,A15)</x:f>
        <x:v>4</x:v>
      </x:c>
      <x:c r="C15" s="40" t="n">
        <x:f>COUNTIFS('Visual Assets'!B:B,A15,'Visual Assets'!E:E,"In Use")</x:f>
        <x:v>3</x:v>
      </x:c>
      <x:c r="D15" s="40" t="n">
        <x:f>COUNTIFS('Visual Assets'!B:B,A15,'Visual Assets'!E:E,"&lt;&gt;In Use",'Visual Assets'!E:E,"&lt;&gt;Reference Only",'Visual Assets'!E:E,"&lt;&gt;Not Required")</x:f>
        <x:v>0</x:v>
      </x:c>
      <x:c r="E15" s="49"/>
      <x:c r="F15" s="49"/>
      <x:c r="G15" s="49"/>
      <x:c r="H15" s="49"/>
    </x:row>
    <x:row r="16" ht="15" hidden="0" customHeight="1">
      <x:c r="A16" s="41" t="str">
        <x:v>UI / Utility</x:v>
      </x:c>
      <x:c r="B16" s="41" t="n">
        <x:f>COUNTIF('Visual Assets'!B:B,A16)</x:f>
        <x:v>1</x:v>
      </x:c>
      <x:c r="C16" s="41" t="n">
        <x:f>COUNTIFS('Visual Assets'!B:B,A16,'Visual Assets'!E:E,"In Use")</x:f>
        <x:v>1</x:v>
      </x:c>
      <x:c r="D16" s="41" t="n">
        <x:f>COUNTIFS('Visual Assets'!B:B,A16,'Visual Assets'!E:E,"&lt;&gt;In Use",'Visual Assets'!E:E,"&lt;&gt;Reference Only",'Visual Assets'!E:E,"&lt;&gt;Not Required")</x:f>
        <x:v>0</x:v>
      </x:c>
      <x:c r="E16" s="49"/>
      <x:c r="F16" s="49"/>
      <x:c r="G16" s="49"/>
      <x:c r="H16" s="49"/>
    </x:row>
    <x:row r="17">
      <x:c r="A17" s="49"/>
      <x:c r="B17" s="49"/>
      <x:c r="C17" s="49"/>
      <x:c r="D17" s="49"/>
      <x:c r="E17" s="49"/>
      <x:c r="F17" s="49"/>
      <x:c r="G17" s="49"/>
      <x:c r="H17" s="49"/>
    </x:row>
    <x:row r="18">
      <x:c r="A18" s="49"/>
      <x:c r="B18" s="49"/>
      <x:c r="C18" s="49"/>
      <x:c r="D18" s="49"/>
      <x:c r="E18" s="49"/>
      <x:c r="F18" s="49"/>
      <x:c r="G18" s="49"/>
      <x:c r="H18" s="49"/>
    </x:row>
    <x:row r="19">
      <x:c r="A19" s="49"/>
      <x:c r="B19" s="49"/>
      <x:c r="C19" s="49"/>
      <x:c r="D19" s="49"/>
      <x:c r="E19" s="49"/>
      <x:c r="F19" s="49"/>
      <x:c r="G19" s="49"/>
      <x:c r="H19" s="49"/>
    </x:row>
    <x:row r="20">
      <x:c r="A20" s="49"/>
      <x:c r="B20" s="49"/>
      <x:c r="C20" s="49"/>
      <x:c r="D20" s="49"/>
      <x:c r="E20" s="49"/>
      <x:c r="F20" s="49"/>
      <x:c r="G20" s="49"/>
      <x:c r="H20" s="49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30" hidden="0" customWidth="1"/>
    <x:col min="4" max="4" width="48" hidden="0" customWidth="1"/>
    <x:col min="5" max="5" width="16" hidden="0" customWidth="1"/>
    <x:col min="6" max="6" width="16" hidden="0" customWidth="1"/>
    <x:col min="7" max="7" width="15" hidden="0" customWidth="1"/>
    <x:col min="8" max="8" width="42" hidden="0" customWidth="1"/>
  </x:cols>
  <x:sheetData>
    <x:row r="1" ht="30" customHeight="1">
      <x:c r="A1" s="4" t="str">
        <x:v>Visual Assets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1" t="str">
        <x:v>One row per visual asset. Technical duplicates and redundant folder columns have been removed.</x:v>
      </x:c>
      <x:c r="B2" s="11"/>
      <x:c r="C2" s="11"/>
      <x:c r="D2" s="11"/>
      <x:c r="E2" s="11"/>
      <x:c r="F2" s="11"/>
      <x:c r="G2" s="11"/>
      <x:c r="H2" s="11"/>
    </x:row>
    <x:row r="4" ht="26" customHeight="1">
      <x:c r="A4" s="30" t="str">
        <x:v>Asset</x:v>
      </x:c>
      <x:c r="B4" s="30" t="str">
        <x:v>Category</x:v>
      </x:c>
      <x:c r="C4" s="30" t="str">
        <x:v>Scenario / Use</x:v>
      </x:c>
      <x:c r="D4" s="30" t="str">
        <x:v>Path</x:v>
      </x:c>
      <x:c r="E4" s="30" t="str">
        <x:v>Status</x:v>
      </x:c>
      <x:c r="F4" s="30" t="str">
        <x:v>Priority</x:v>
      </x:c>
      <x:c r="G4" s="30" t="str">
        <x:v>Needs Update?</x:v>
      </x:c>
      <x:c r="H4" s="30" t="str">
        <x:v>Notes</x:v>
      </x:c>
    </x:row>
    <x:row r="5">
      <x:c r="A5" s="40" t="str">
        <x:v>app-background.png</x:v>
      </x:c>
      <x:c r="B5" s="40" t="str">
        <x:v>Background</x:v>
      </x:c>
      <x:c r="C5" s="40" t="str">
        <x:v>Global app shell, main menu, and overlays</x:v>
      </x:c>
      <x:c r="D5" s="40" t="str">
        <x:v>assets/images/backgrounds/app-background.png</x:v>
      </x:c>
      <x:c r="E5" s="40" t="str">
        <x:v>In Use</x:v>
      </x:c>
      <x:c r="F5" s="40" t="str">
        <x:v>High</x:v>
      </x:c>
      <x:c r="G5" s="40" t="str"/>
      <x:c r="H5" s="40" t="str">
        <x:v>Current V429 runtime asset; classified in asset-manifest v144.</x:v>
      </x:c>
    </x:row>
    <x:row r="6">
      <x:c r="A6" s="40" t="str">
        <x:v>classroom.png</x:v>
      </x:c>
      <x:c r="B6" s="40" t="str">
        <x:v>Background</x:v>
      </x:c>
      <x:c r="C6" s="40" t="str">
        <x:v>Scenario scene fallback</x:v>
      </x:c>
      <x:c r="D6" s="40" t="str">
        <x:v>assets/images/backgrounds/classroom.png</x:v>
      </x:c>
      <x:c r="E6" s="40" t="str">
        <x:v>In Use</x:v>
      </x:c>
      <x:c r="F6" s="40" t="str">
        <x:v>High</x:v>
      </x:c>
      <x:c r="G6" s="40" t="str"/>
      <x:c r="H6" s="40" t="str">
        <x:v>Current V429 runtime asset; classified in asset-manifest v144.</x:v>
      </x:c>
    </x:row>
    <x:row r="7">
      <x:c r="A7" s="40" t="str">
        <x:v>neutral.png</x:v>
      </x:c>
      <x:c r="B7" s="40" t="str">
        <x:v>Character</x:v>
      </x:c>
      <x:c r="C7" s="40" t="str">
        <x:v>Professor Pixel portrait system</x:v>
      </x:c>
      <x:c r="D7" s="40" t="str">
        <x:v>assets/images/characters/professor-pixel/neutral.png</x:v>
      </x:c>
      <x:c r="E7" s="40" t="str">
        <x:v>In Use</x:v>
      </x:c>
      <x:c r="F7" s="40" t="str">
        <x:v>High</x:v>
      </x:c>
      <x:c r="G7" s="40" t="str"/>
      <x:c r="H7" s="40" t="str">
        <x:v>Current V429 runtime asset; classified in asset-manifest v144.</x:v>
      </x:c>
    </x:row>
    <x:row r="8">
      <x:c r="A8" s="40" t="str">
        <x:v>thinking.png</x:v>
      </x:c>
      <x:c r="B8" s="40" t="str">
        <x:v>Character</x:v>
      </x:c>
      <x:c r="C8" s="40" t="str">
        <x:v>Professor Pixel portrait system</x:v>
      </x:c>
      <x:c r="D8" s="40" t="str">
        <x:v>assets/images/characters/professor-pixel/thinking.png</x:v>
      </x:c>
      <x:c r="E8" s="40" t="str">
        <x:v>In Use</x:v>
      </x:c>
      <x:c r="F8" s="40" t="str">
        <x:v>High</x:v>
      </x:c>
      <x:c r="G8" s="40" t="str"/>
      <x:c r="H8" s="40" t="str">
        <x:v>Current V429 runtime asset; classified in asset-manifest v144.</x:v>
      </x:c>
    </x:row>
    <x:row r="9">
      <x:c r="A9" s="40" t="str">
        <x:v>excited.png</x:v>
      </x:c>
      <x:c r="B9" s="40" t="str">
        <x:v>Character</x:v>
      </x:c>
      <x:c r="C9" s="40" t="str">
        <x:v>Professor Pixel portrait system</x:v>
      </x:c>
      <x:c r="D9" s="40" t="str">
        <x:v>assets/images/characters/professor-pixel/excited.png</x:v>
      </x:c>
      <x:c r="E9" s="40" t="str">
        <x:v>In Use</x:v>
      </x:c>
      <x:c r="F9" s="40" t="str">
        <x:v>High</x:v>
      </x:c>
      <x:c r="G9" s="40" t="str"/>
      <x:c r="H9" s="40" t="str">
        <x:v>Current V429 runtime asset; classified in asset-manifest v144.</x:v>
      </x:c>
    </x:row>
    <x:row r="10">
      <x:c r="A10" s="40" t="str">
        <x:v>encouraging.png</x:v>
      </x:c>
      <x:c r="B10" s="40" t="str">
        <x:v>Character</x:v>
      </x:c>
      <x:c r="C10" s="40" t="str">
        <x:v>Professor Pixel portrait system</x:v>
      </x:c>
      <x:c r="D10" s="40" t="str">
        <x:v>assets/images/characters/professor-pixel/encouraging.png</x:v>
      </x:c>
      <x:c r="E10" s="40" t="str">
        <x:v>In Use</x:v>
      </x:c>
      <x:c r="F10" s="40" t="str">
        <x:v>High</x:v>
      </x:c>
      <x:c r="G10" s="40" t="str"/>
      <x:c r="H10" s="40" t="str">
        <x:v>Current V429 runtime asset; classified in asset-manifest v144.</x:v>
      </x:c>
    </x:row>
    <x:row r="11">
      <x:c r="A11" s="40" t="str">
        <x:v>skeptical.png</x:v>
      </x:c>
      <x:c r="B11" s="40" t="str">
        <x:v>Character</x:v>
      </x:c>
      <x:c r="C11" s="40" t="str">
        <x:v>Professor Pixel portrait system</x:v>
      </x:c>
      <x:c r="D11" s="40" t="str">
        <x:v>assets/images/characters/professor-pixel/skeptical.png</x:v>
      </x:c>
      <x:c r="E11" s="40" t="str">
        <x:v>In Use</x:v>
      </x:c>
      <x:c r="F11" s="40" t="str">
        <x:v>High</x:v>
      </x:c>
      <x:c r="G11" s="40" t="str"/>
      <x:c r="H11" s="40" t="str">
        <x:v>Current V429 runtime asset; classified in asset-manifest v144.</x:v>
      </x:c>
    </x:row>
    <x:row r="12">
      <x:c r="A12" s="40" t="str">
        <x:v>proud.png</x:v>
      </x:c>
      <x:c r="B12" s="40" t="str">
        <x:v>Character</x:v>
      </x:c>
      <x:c r="C12" s="40" t="str">
        <x:v>Professor Pixel portrait system</x:v>
      </x:c>
      <x:c r="D12" s="40" t="str">
        <x:v>assets/images/characters/professor-pixel/proud.png</x:v>
      </x:c>
      <x:c r="E12" s="40" t="str">
        <x:v>In Use</x:v>
      </x:c>
      <x:c r="F12" s="40" t="str">
        <x:v>High</x:v>
      </x:c>
      <x:c r="G12" s="40" t="str"/>
      <x:c r="H12" s="40" t="str">
        <x:v>Current V429 runtime asset; classified in asset-manifest v144.</x:v>
      </x:c>
    </x:row>
    <x:row r="13">
      <x:c r="A13" s="40" t="str">
        <x:v>scene.png</x:v>
      </x:c>
      <x:c r="B13" s="40" t="str">
        <x:v>Scene art</x:v>
      </x:c>
      <x:c r="C13" s="40" t="str">
        <x:v>S1: Engagement</x:v>
      </x:c>
      <x:c r="D13" s="40" t="str">
        <x:v>assets/images/scenes/scenario-01-engagement/scene.png</x:v>
      </x:c>
      <x:c r="E13" s="40" t="str">
        <x:v>In Use</x:v>
      </x:c>
      <x:c r="F13" s="40" t="str">
        <x:v>High</x:v>
      </x:c>
      <x:c r="G13" s="40" t="str"/>
      <x:c r="H13" s="40" t="str">
        <x:v>Current V429 runtime asset; classified in asset-manifest v144.</x:v>
      </x:c>
    </x:row>
    <x:row r="14">
      <x:c r="A14" s="40" t="str">
        <x:v>scene.png</x:v>
      </x:c>
      <x:c r="B14" s="40" t="str">
        <x:v>Scene art</x:v>
      </x:c>
      <x:c r="C14" s="40" t="str">
        <x:v>S2: Metacognition</x:v>
      </x:c>
      <x:c r="D14" s="40" t="str">
        <x:v>assets/images/scenes/scenario-02-metacognition/scene.png</x:v>
      </x:c>
      <x:c r="E14" s="40" t="str">
        <x:v>In Use</x:v>
      </x:c>
      <x:c r="F14" s="40" t="str">
        <x:v>High</x:v>
      </x:c>
      <x:c r="G14" s="40" t="str"/>
      <x:c r="H14" s="40" t="str">
        <x:v>Current V429 runtime asset; classified in asset-manifest v144.</x:v>
      </x:c>
    </x:row>
    <x:row r="15">
      <x:c r="A15" s="40" t="str">
        <x:v>scene.png</x:v>
      </x:c>
      <x:c r="B15" s="40" t="str">
        <x:v>Scene art</x:v>
      </x:c>
      <x:c r="C15" s="40" t="str">
        <x:v>S3: Authentic Assessment</x:v>
      </x:c>
      <x:c r="D15" s="40" t="str">
        <x:v>assets/images/scenes/scenario-03-authentic-assessment/scene.png</x:v>
      </x:c>
      <x:c r="E15" s="40" t="str">
        <x:v>In Use</x:v>
      </x:c>
      <x:c r="F15" s="40" t="str">
        <x:v>High</x:v>
      </x:c>
      <x:c r="G15" s="40" t="str"/>
      <x:c r="H15" s="40" t="str">
        <x:v>Current V429 runtime asset; classified in asset-manifest v144.</x:v>
      </x:c>
    </x:row>
    <x:row r="16">
      <x:c r="A16" s="40" t="str">
        <x:v>scene.png</x:v>
      </x:c>
      <x:c r="B16" s="40" t="str">
        <x:v>Scene art</x:v>
      </x:c>
      <x:c r="C16" s="40" t="str">
        <x:v>S4: Sync Bias</x:v>
      </x:c>
      <x:c r="D16" s="40" t="str">
        <x:v>assets/images/scenes/scenario-04-sync-bias/scene.png</x:v>
      </x:c>
      <x:c r="E16" s="40" t="str">
        <x:v>In Use</x:v>
      </x:c>
      <x:c r="F16" s="40" t="str">
        <x:v>High</x:v>
      </x:c>
      <x:c r="G16" s="40" t="str"/>
      <x:c r="H16" s="40" t="str">
        <x:v>Current V429 runtime asset; classified in asset-manifest v144.</x:v>
      </x:c>
    </x:row>
    <x:row r="17">
      <x:c r="A17" s="40" t="str">
        <x:v>scene.png</x:v>
      </x:c>
      <x:c r="B17" s="40" t="str">
        <x:v>Scene art</x:v>
      </x:c>
      <x:c r="C17" s="40" t="str">
        <x:v>S5: Hallucination Hunt</x:v>
      </x:c>
      <x:c r="D17" s="40" t="str">
        <x:v>assets/images/scenes/scenario-05-hallucination-hunt/scene.png</x:v>
      </x:c>
      <x:c r="E17" s="40" t="str">
        <x:v>In Use</x:v>
      </x:c>
      <x:c r="F17" s="40" t="str">
        <x:v>High</x:v>
      </x:c>
      <x:c r="G17" s="40" t="str"/>
      <x:c r="H17" s="40" t="str">
        <x:v>Current V429 runtime asset; classified in asset-manifest v144.</x:v>
      </x:c>
    </x:row>
    <x:row r="18">
      <x:c r="A18" s="40" t="str">
        <x:v>scene.png</x:v>
      </x:c>
      <x:c r="B18" s="40" t="str">
        <x:v>Scene art</x:v>
      </x:c>
      <x:c r="C18" s="40" t="str">
        <x:v>S6: Predict the Output</x:v>
      </x:c>
      <x:c r="D18" s="40" t="str">
        <x:v>assets/images/scenes/scenario-06-predict-output/scene.png</x:v>
      </x:c>
      <x:c r="E18" s="40" t="str">
        <x:v>In Use</x:v>
      </x:c>
      <x:c r="F18" s="40" t="str">
        <x:v>High</x:v>
      </x:c>
      <x:c r="G18" s="40" t="str"/>
      <x:c r="H18" s="40" t="str">
        <x:v>Current V429 runtime asset; classified in asset-manifest v144.</x:v>
      </x:c>
    </x:row>
    <x:row r="19">
      <x:c r="A19" s="40" t="str">
        <x:v>scene.png</x:v>
      </x:c>
      <x:c r="B19" s="40" t="str">
        <x:v>Scene art</x:v>
      </x:c>
      <x:c r="C19" s="40" t="str">
        <x:v>S7: Overreliance</x:v>
      </x:c>
      <x:c r="D19" s="40" t="str">
        <x:v>assets/images/scenes/scenario-07-overreliance/scene.png</x:v>
      </x:c>
      <x:c r="E19" s="40" t="str">
        <x:v>Planned</x:v>
      </x:c>
      <x:c r="F19" s="40" t="str">
        <x:v>High</x:v>
      </x:c>
      <x:c r="G19" s="40" t="str"/>
      <x:c r="H19" s="40" t="str">
        <x:v>Artwork file is present; current app keeps this scenario locked until gameplay is rebuilt.</x:v>
      </x:c>
    </x:row>
    <x:row r="20">
      <x:c r="A20" s="40" t="str">
        <x:v>scene.png</x:v>
      </x:c>
      <x:c r="B20" s="40" t="str">
        <x:v>Scene art</x:v>
      </x:c>
      <x:c r="C20" s="40" t="str">
        <x:v>S8: Reflect &amp; Revise</x:v>
      </x:c>
      <x:c r="D20" s="40" t="str">
        <x:v>assets/images/scenes/scenario-08-reflect-revise/scene.png</x:v>
      </x:c>
      <x:c r="E20" s="40" t="str">
        <x:v>Planned</x:v>
      </x:c>
      <x:c r="F20" s="40" t="str">
        <x:v>High</x:v>
      </x:c>
      <x:c r="G20" s="40" t="str"/>
      <x:c r="H20" s="40" t="str">
        <x:v>Artwork file is present; current app keeps this scenario locked until gameplay is rebuilt.</x:v>
      </x:c>
    </x:row>
    <x:row r="21">
      <x:c r="A21" s="40" t="str">
        <x:v>all-scenarios-complete.png</x:v>
      </x:c>
      <x:c r="B21" s="40" t="str">
        <x:v>Scene art</x:v>
      </x:c>
      <x:c r="C21" s="40" t="str">
        <x:v>Completion screen</x:v>
      </x:c>
      <x:c r="D21" s="40" t="str">
        <x:v>assets/images/scenes/completion/all-scenarios-complete.png</x:v>
      </x:c>
      <x:c r="E21" s="40" t="str">
        <x:v>In Use</x:v>
      </x:c>
      <x:c r="F21" s="40" t="str">
        <x:v>High</x:v>
      </x:c>
      <x:c r="G21" s="40" t="str"/>
      <x:c r="H21" s="40" t="str">
        <x:v>Current V429 runtime asset; classified in asset-manifest v144.</x:v>
      </x:c>
    </x:row>
    <x:row r="22">
      <x:c r="A22" s="40" t="str">
        <x:v>student-cast-concept-sheet.png</x:v>
      </x:c>
      <x:c r="B22" s="40" t="str">
        <x:v>Character reference</x:v>
      </x:c>
      <x:c r="C22" s="40" t="str">
        <x:v>Cast development</x:v>
      </x:c>
      <x:c r="D22" s="40" t="str">
        <x:v>assets/images/characters/students/student-cast-concept-sheet.png</x:v>
      </x:c>
      <x:c r="E22" s="40" t="str">
        <x:v>Reference Only</x:v>
      </x:c>
      <x:c r="F22" s="40" t="str">
        <x:v>Medium</x:v>
      </x:c>
      <x:c r="G22" s="40" t="str"/>
      <x:c r="H22" s="40" t="str">
        <x:v>Development reference only; not loaded by the application.</x:v>
      </x:c>
    </x:row>
    <x:row r="23">
      <x:c r="A23" s="40" t="str">
        <x:v>concept-sheet.png</x:v>
      </x:c>
      <x:c r="B23" s="40" t="str">
        <x:v>Character reference</x:v>
      </x:c>
      <x:c r="C23" s="40" t="str">
        <x:v>Jordan design development</x:v>
      </x:c>
      <x:c r="D23" s="40" t="str">
        <x:v>assets/images/characters/students/jordan/references/concept-sheet.png</x:v>
      </x:c>
      <x:c r="E23" s="40" t="str">
        <x:v>Reference Only</x:v>
      </x:c>
      <x:c r="F23" s="40" t="str">
        <x:v>Medium</x:v>
      </x:c>
      <x:c r="G23" s="40" t="str"/>
      <x:c r="H23" s="40" t="str">
        <x:v>Development reference only; not loaded by the application.</x:v>
      </x:c>
    </x:row>
    <x:row r="24">
      <x:c r="A24" s="40" t="str">
        <x:v>neutral.png</x:v>
      </x:c>
      <x:c r="B24" s="40" t="str">
        <x:v>Student portrait</x:v>
      </x:c>
      <x:c r="C24" s="40" t="str">
        <x:v>S2: Metacognition</x:v>
      </x:c>
      <x:c r="D24" s="40" t="str">
        <x:v>assets/images/characters/students/jordan/neutral.png</x:v>
      </x:c>
      <x:c r="E24" s="40" t="str">
        <x:v>In Use</x:v>
      </x:c>
      <x:c r="F24" s="40" t="str">
        <x:v>High</x:v>
      </x:c>
      <x:c r="G24" s="40" t="str"/>
      <x:c r="H24" s="40" t="str">
        <x:v>Current S2 production portrait loaded by V429.</x:v>
      </x:c>
    </x:row>
    <x:row r="25">
      <x:c r="A25" s="40" t="str">
        <x:v>uncertain.png</x:v>
      </x:c>
      <x:c r="B25" s="40" t="str">
        <x:v>Student portrait</x:v>
      </x:c>
      <x:c r="C25" s="40" t="str">
        <x:v>S2: Metacognition</x:v>
      </x:c>
      <x:c r="D25" s="40" t="str">
        <x:v>assets/images/characters/students/jordan/uncertain.png</x:v>
      </x:c>
      <x:c r="E25" s="40" t="str">
        <x:v>In Use</x:v>
      </x:c>
      <x:c r="F25" s="40" t="str">
        <x:v>High</x:v>
      </x:c>
      <x:c r="G25" s="40" t="str"/>
      <x:c r="H25" s="40" t="str">
        <x:v>Current S2 production portrait loaded by V429.</x:v>
      </x:c>
    </x:row>
    <x:row r="26">
      <x:c r="A26" s="40" t="str">
        <x:v>frustrated.png</x:v>
      </x:c>
      <x:c r="B26" s="40" t="str">
        <x:v>Student portrait</x:v>
      </x:c>
      <x:c r="C26" s="40" t="str">
        <x:v>S2: Metacognition</x:v>
      </x:c>
      <x:c r="D26" s="40" t="str">
        <x:v>assets/images/characters/students/jordan/frustrated.png</x:v>
      </x:c>
      <x:c r="E26" s="40" t="str">
        <x:v>In Use</x:v>
      </x:c>
      <x:c r="F26" s="40" t="str">
        <x:v>High</x:v>
      </x:c>
      <x:c r="G26" s="40" t="str"/>
      <x:c r="H26" s="40" t="str">
        <x:v>Current S2 production portrait loaded by V429.</x:v>
      </x:c>
    </x:row>
    <x:row r="27">
      <x:c r="A27" s="40" t="str">
        <x:v>thinking.png</x:v>
      </x:c>
      <x:c r="B27" s="40" t="str">
        <x:v>Student portrait</x:v>
      </x:c>
      <x:c r="C27" s="40" t="str">
        <x:v>S2: Metacognition</x:v>
      </x:c>
      <x:c r="D27" s="40" t="str">
        <x:v>assets/images/characters/students/jordan/thinking.png</x:v>
      </x:c>
      <x:c r="E27" s="40" t="str">
        <x:v>In Use</x:v>
      </x:c>
      <x:c r="F27" s="40" t="str">
        <x:v>High</x:v>
      </x:c>
      <x:c r="G27" s="40" t="str"/>
      <x:c r="H27" s="40" t="str">
        <x:v>Current S2 production portrait loaded by V429.</x:v>
      </x:c>
    </x:row>
    <x:row r="28">
      <x:c r="A28" s="40" t="str">
        <x:v>dryly-amused.png</x:v>
      </x:c>
      <x:c r="B28" s="40" t="str">
        <x:v>Student portrait</x:v>
      </x:c>
      <x:c r="C28" s="40" t="str">
        <x:v>S2: Metacognition</x:v>
      </x:c>
      <x:c r="D28" s="40" t="str">
        <x:v>assets/images/characters/students/jordan/dryly-amused.png</x:v>
      </x:c>
      <x:c r="E28" s="40" t="str">
        <x:v>Not Required</x:v>
      </x:c>
      <x:c r="F28" s="40" t="str">
        <x:v>Low</x:v>
      </x:c>
      <x:c r="G28" s="40" t="str"/>
      <x:c r="H28" s="40" t="str">
        <x:v>Historical planned expression; not present in the current S2 asset registry.</x:v>
      </x:c>
    </x:row>
    <x:row r="29">
      <x:c r="A29" s="40" t="str">
        <x:v>confident.png</x:v>
      </x:c>
      <x:c r="B29" s="40" t="str">
        <x:v>Student portrait</x:v>
      </x:c>
      <x:c r="C29" s="40" t="str">
        <x:v>S2: Metacognition</x:v>
      </x:c>
      <x:c r="D29" s="40" t="str">
        <x:v>assets/images/characters/students/jordan/confident.png</x:v>
      </x:c>
      <x:c r="E29" s="40" t="str">
        <x:v>In Use</x:v>
      </x:c>
      <x:c r="F29" s="40" t="str">
        <x:v>High</x:v>
      </x:c>
      <x:c r="G29" s="40" t="str"/>
      <x:c r="H29" s="40" t="str">
        <x:v>Current S2 production portrait loaded by V429.</x:v>
      </x:c>
    </x:row>
    <x:row r="30">
      <x:c r="A30" s="40" t="str">
        <x:v>concept-sheet.png</x:v>
      </x:c>
      <x:c r="B30" s="40" t="str">
        <x:v>Character reference</x:v>
      </x:c>
      <x:c r="C30" s="40" t="str">
        <x:v>Eli design development</x:v>
      </x:c>
      <x:c r="D30" s="40" t="str">
        <x:v>assets/images/characters/students/eli/references/concept-sheet.png</x:v>
      </x:c>
      <x:c r="E30" s="40" t="str">
        <x:v>Reference Only</x:v>
      </x:c>
      <x:c r="F30" s="40" t="str">
        <x:v>Medium</x:v>
      </x:c>
      <x:c r="G30" s="40" t="str"/>
      <x:c r="H30" s="40" t="str">
        <x:v>Development reference only; not loaded by the application.</x:v>
      </x:c>
    </x:row>
    <x:row r="31">
      <x:c r="A31" s="40" t="str">
        <x:v>neutral.png</x:v>
      </x:c>
      <x:c r="B31" s="40" t="str">
        <x:v>Student portrait</x:v>
      </x:c>
      <x:c r="C31" s="40" t="str">
        <x:v>S3: Authentic Assessment</x:v>
      </x:c>
      <x:c r="D31" s="40" t="str">
        <x:v>assets/images/characters/students/eli/neutral.png</x:v>
      </x:c>
      <x:c r="E31" s="40" t="str">
        <x:v>Not Started</x:v>
      </x:c>
      <x:c r="F31" s="40" t="str">
        <x:v>Medium</x:v>
      </x:c>
      <x:c r="G31" s="40" t="str"/>
      <x:c r="H31" s="40" t="str">
        <x:v>He/him. Older veteran returning to school in a CTE program.</x:v>
      </x:c>
    </x:row>
    <x:row r="32">
      <x:c r="A32" s="40" t="str">
        <x:v>concentrating.png</x:v>
      </x:c>
      <x:c r="B32" s="40" t="str">
        <x:v>Student portrait</x:v>
      </x:c>
      <x:c r="C32" s="40" t="str">
        <x:v>S3: Authentic Assessment</x:v>
      </x:c>
      <x:c r="D32" s="40" t="str">
        <x:v>assets/images/characters/students/eli/concentrating.png</x:v>
      </x:c>
      <x:c r="E32" s="40" t="str">
        <x:v>Not Started</x:v>
      </x:c>
      <x:c r="F32" s="40" t="str">
        <x:v>Medium</x:v>
      </x:c>
      <x:c r="G32" s="40" t="str"/>
      <x:c r="H32" s="40" t="str">
        <x:v>He/him. Older veteran returning to school in a CTE program.</x:v>
      </x:c>
    </x:row>
    <x:row r="33">
      <x:c r="A33" s="40" t="str">
        <x:v>skeptical.png</x:v>
      </x:c>
      <x:c r="B33" s="40" t="str">
        <x:v>Student portrait</x:v>
      </x:c>
      <x:c r="C33" s="40" t="str">
        <x:v>S3: Authentic Assessment</x:v>
      </x:c>
      <x:c r="D33" s="40" t="str">
        <x:v>assets/images/characters/students/eli/skeptical.png</x:v>
      </x:c>
      <x:c r="E33" s="40" t="str">
        <x:v>Not Started</x:v>
      </x:c>
      <x:c r="F33" s="40" t="str">
        <x:v>Medium</x:v>
      </x:c>
      <x:c r="G33" s="40" t="str"/>
      <x:c r="H33" s="40" t="str">
        <x:v>He/him. Older veteran returning to school in a CTE program.</x:v>
      </x:c>
    </x:row>
    <x:row r="34">
      <x:c r="A34" s="40" t="str">
        <x:v>irritated.png</x:v>
      </x:c>
      <x:c r="B34" s="40" t="str">
        <x:v>Student portrait</x:v>
      </x:c>
      <x:c r="C34" s="40" t="str">
        <x:v>S3: Authentic Assessment</x:v>
      </x:c>
      <x:c r="D34" s="40" t="str">
        <x:v>assets/images/characters/students/eli/irritated.png</x:v>
      </x:c>
      <x:c r="E34" s="40" t="str">
        <x:v>Not Started</x:v>
      </x:c>
      <x:c r="F34" s="40" t="str">
        <x:v>Medium</x:v>
      </x:c>
      <x:c r="G34" s="40" t="str"/>
      <x:c r="H34" s="40" t="str">
        <x:v>He/him. Older veteran returning to school in a CTE program.</x:v>
      </x:c>
    </x:row>
    <x:row r="35">
      <x:c r="A35" s="40" t="str">
        <x:v>amused.png</x:v>
      </x:c>
      <x:c r="B35" s="40" t="str">
        <x:v>Student portrait</x:v>
      </x:c>
      <x:c r="C35" s="40" t="str">
        <x:v>S3: Authentic Assessment</x:v>
      </x:c>
      <x:c r="D35" s="40" t="str">
        <x:v>assets/images/characters/students/eli/amused.png</x:v>
      </x:c>
      <x:c r="E35" s="40" t="str">
        <x:v>Not Started</x:v>
      </x:c>
      <x:c r="F35" s="40" t="str">
        <x:v>Medium</x:v>
      </x:c>
      <x:c r="G35" s="40" t="str"/>
      <x:c r="H35" s="40" t="str">
        <x:v>He/him. Older veteran returning to school in a CTE program.</x:v>
      </x:c>
    </x:row>
    <x:row r="36">
      <x:c r="A36" s="40" t="str">
        <x:v>confident.png</x:v>
      </x:c>
      <x:c r="B36" s="40" t="str">
        <x:v>Student portrait</x:v>
      </x:c>
      <x:c r="C36" s="40" t="str">
        <x:v>S3: Authentic Assessment</x:v>
      </x:c>
      <x:c r="D36" s="40" t="str">
        <x:v>assets/images/characters/students/eli/confident.png</x:v>
      </x:c>
      <x:c r="E36" s="40" t="str">
        <x:v>Not Started</x:v>
      </x:c>
      <x:c r="F36" s="40" t="str">
        <x:v>Medium</x:v>
      </x:c>
      <x:c r="G36" s="40" t="str"/>
      <x:c r="H36" s="40" t="str">
        <x:v>He/him. Older veteran returning to school in a CTE program.</x:v>
      </x:c>
    </x:row>
    <x:row r="37">
      <x:c r="A37" s="40" t="str">
        <x:v>concept-sheet.png</x:v>
      </x:c>
      <x:c r="B37" s="40" t="str">
        <x:v>Character reference</x:v>
      </x:c>
      <x:c r="C37" s="40" t="str">
        <x:v>Maya design development</x:v>
      </x:c>
      <x:c r="D37" s="40" t="str">
        <x:v>assets/images/characters/students/maya/references/concept-sheet.png</x:v>
      </x:c>
      <x:c r="E37" s="40" t="str">
        <x:v>Reference Only</x:v>
      </x:c>
      <x:c r="F37" s="40" t="str">
        <x:v>Medium</x:v>
      </x:c>
      <x:c r="G37" s="40" t="str"/>
      <x:c r="H37" s="40" t="str">
        <x:v>Development reference only; not loaded by the application.</x:v>
      </x:c>
    </x:row>
    <x:row r="38">
      <x:c r="A38" s="40" t="str">
        <x:v>neutral.png</x:v>
      </x:c>
      <x:c r="B38" s="40" t="str">
        <x:v>Student portrait</x:v>
      </x:c>
      <x:c r="C38" s="40" t="str">
        <x:v>S4: Sync Bias</x:v>
      </x:c>
      <x:c r="D38" s="40" t="str">
        <x:v>assets/images/characters/students/maya/neutral.png</x:v>
      </x:c>
      <x:c r="E38" s="40" t="str">
        <x:v>Not Started</x:v>
      </x:c>
      <x:c r="F38" s="40" t="str">
        <x:v>Medium</x:v>
      </x:c>
      <x:c r="G38" s="40" t="str"/>
      <x:c r="H38" s="40" t="str">
        <x:v>She/her. Rural adult learner balancing several responsibilities.</x:v>
      </x:c>
    </x:row>
    <x:row r="39">
      <x:c r="A39" s="40" t="str">
        <x:v>focused.png</x:v>
      </x:c>
      <x:c r="B39" s="40" t="str">
        <x:v>Student portrait</x:v>
      </x:c>
      <x:c r="C39" s="40" t="str">
        <x:v>S4: Sync Bias</x:v>
      </x:c>
      <x:c r="D39" s="40" t="str">
        <x:v>assets/images/characters/students/maya/focused.png</x:v>
      </x:c>
      <x:c r="E39" s="40" t="str">
        <x:v>Not Started</x:v>
      </x:c>
      <x:c r="F39" s="40" t="str">
        <x:v>Medium</x:v>
      </x:c>
      <x:c r="G39" s="40" t="str"/>
      <x:c r="H39" s="40" t="str">
        <x:v>She/her. Rural adult learner balancing several responsibilities.</x:v>
      </x:c>
    </x:row>
    <x:row r="40">
      <x:c r="A40" s="40" t="str">
        <x:v>concerned.png</x:v>
      </x:c>
      <x:c r="B40" s="40" t="str">
        <x:v>Student portrait</x:v>
      </x:c>
      <x:c r="C40" s="40" t="str">
        <x:v>S4: Sync Bias</x:v>
      </x:c>
      <x:c r="D40" s="40" t="str">
        <x:v>assets/images/characters/students/maya/concerned.png</x:v>
      </x:c>
      <x:c r="E40" s="40" t="str">
        <x:v>Not Started</x:v>
      </x:c>
      <x:c r="F40" s="40" t="str">
        <x:v>Medium</x:v>
      </x:c>
      <x:c r="G40" s="40" t="str"/>
      <x:c r="H40" s="40" t="str">
        <x:v>She/her. Rural adult learner balancing several responsibilities.</x:v>
      </x:c>
    </x:row>
    <x:row r="41">
      <x:c r="A41" s="40" t="str">
        <x:v>frustrated.png</x:v>
      </x:c>
      <x:c r="B41" s="40" t="str">
        <x:v>Student portrait</x:v>
      </x:c>
      <x:c r="C41" s="40" t="str">
        <x:v>S4: Sync Bias</x:v>
      </x:c>
      <x:c r="D41" s="40" t="str">
        <x:v>assets/images/characters/students/maya/frustrated.png</x:v>
      </x:c>
      <x:c r="E41" s="40" t="str">
        <x:v>Not Started</x:v>
      </x:c>
      <x:c r="F41" s="40" t="str">
        <x:v>Medium</x:v>
      </x:c>
      <x:c r="G41" s="40" t="str"/>
      <x:c r="H41" s="40" t="str">
        <x:v>She/her. Rural adult learner balancing several responsibilities.</x:v>
      </x:c>
    </x:row>
    <x:row r="42">
      <x:c r="A42" s="40" t="str">
        <x:v>relieved.png</x:v>
      </x:c>
      <x:c r="B42" s="40" t="str">
        <x:v>Student portrait</x:v>
      </x:c>
      <x:c r="C42" s="40" t="str">
        <x:v>S4: Sync Bias</x:v>
      </x:c>
      <x:c r="D42" s="40" t="str">
        <x:v>assets/images/characters/students/maya/relieved.png</x:v>
      </x:c>
      <x:c r="E42" s="40" t="str">
        <x:v>Not Started</x:v>
      </x:c>
      <x:c r="F42" s="40" t="str">
        <x:v>Medium</x:v>
      </x:c>
      <x:c r="G42" s="40" t="str"/>
      <x:c r="H42" s="40" t="str">
        <x:v>She/her. Rural adult learner balancing several responsibilities.</x:v>
      </x:c>
    </x:row>
    <x:row r="43">
      <x:c r="A43" s="40" t="str">
        <x:v>confident.png</x:v>
      </x:c>
      <x:c r="B43" s="40" t="str">
        <x:v>Student portrait</x:v>
      </x:c>
      <x:c r="C43" s="40" t="str">
        <x:v>S4: Sync Bias</x:v>
      </x:c>
      <x:c r="D43" s="40" t="str">
        <x:v>assets/images/characters/students/maya/confident.png</x:v>
      </x:c>
      <x:c r="E43" s="40" t="str">
        <x:v>Not Started</x:v>
      </x:c>
      <x:c r="F43" s="40" t="str">
        <x:v>Medium</x:v>
      </x:c>
      <x:c r="G43" s="40" t="str"/>
      <x:c r="H43" s="40" t="str">
        <x:v>She/her. Rural adult learner balancing several responsibilities.</x:v>
      </x:c>
    </x:row>
    <x:row r="44">
      <x:c r="A44" s="40" t="str">
        <x:v>concept-sheet.png</x:v>
      </x:c>
      <x:c r="B44" s="40" t="str">
        <x:v>Character reference</x:v>
      </x:c>
      <x:c r="C44" s="40" t="str">
        <x:v>Samira design development</x:v>
      </x:c>
      <x:c r="D44" s="40" t="str">
        <x:v>assets/images/characters/students/samira/references/concept-sheet.png</x:v>
      </x:c>
      <x:c r="E44" s="40" t="str">
        <x:v>Reference Only</x:v>
      </x:c>
      <x:c r="F44" s="40" t="str">
        <x:v>Medium</x:v>
      </x:c>
      <x:c r="G44" s="40" t="str"/>
      <x:c r="H44" s="40" t="str">
        <x:v>Development reference only; not loaded by the application.</x:v>
      </x:c>
    </x:row>
    <x:row r="45">
      <x:c r="A45" s="40" t="str">
        <x:v>neutral.png</x:v>
      </x:c>
      <x:c r="B45" s="40" t="str">
        <x:v>Student portrait</x:v>
      </x:c>
      <x:c r="C45" s="40" t="str">
        <x:v>S5: Hallucination Hunt</x:v>
      </x:c>
      <x:c r="D45" s="40" t="str">
        <x:v>assets/images/characters/students/samira/neutral.png</x:v>
      </x:c>
      <x:c r="E45" s="40" t="str">
        <x:v>Not Started</x:v>
      </x:c>
      <x:c r="F45" s="40" t="str">
        <x:v>Medium</x:v>
      </x:c>
      <x:c r="G45" s="40" t="str"/>
      <x:c r="H45" s="40" t="str">
        <x:v>She/her. First-generation Native American learner from or near Browning; low-income and resourceful.</x:v>
      </x:c>
    </x:row>
    <x:row r="46">
      <x:c r="A46" s="40" t="str">
        <x:v>curious.png</x:v>
      </x:c>
      <x:c r="B46" s="40" t="str">
        <x:v>Student portrait</x:v>
      </x:c>
      <x:c r="C46" s="40" t="str">
        <x:v>S5: Hallucination Hunt</x:v>
      </x:c>
      <x:c r="D46" s="40" t="str">
        <x:v>assets/images/characters/students/samira/curious.png</x:v>
      </x:c>
      <x:c r="E46" s="40" t="str">
        <x:v>Not Started</x:v>
      </x:c>
      <x:c r="F46" s="40" t="str">
        <x:v>Medium</x:v>
      </x:c>
      <x:c r="G46" s="40" t="str"/>
      <x:c r="H46" s="40" t="str">
        <x:v>She/her. First-generation Native American learner from or near Browning; low-income and resourceful.</x:v>
      </x:c>
    </x:row>
    <x:row r="47">
      <x:c r="A47" s="40" t="str">
        <x:v>suspicious.png</x:v>
      </x:c>
      <x:c r="B47" s="40" t="str">
        <x:v>Student portrait</x:v>
      </x:c>
      <x:c r="C47" s="40" t="str">
        <x:v>S5: Hallucination Hunt</x:v>
      </x:c>
      <x:c r="D47" s="40" t="str">
        <x:v>assets/images/characters/students/samira/suspicious.png</x:v>
      </x:c>
      <x:c r="E47" s="40" t="str">
        <x:v>Not Started</x:v>
      </x:c>
      <x:c r="F47" s="40" t="str">
        <x:v>Medium</x:v>
      </x:c>
      <x:c r="G47" s="40" t="str"/>
      <x:c r="H47" s="40" t="str">
        <x:v>She/her. First-generation Native American learner from or near Browning; low-income and resourceful.</x:v>
      </x:c>
    </x:row>
    <x:row r="48">
      <x:c r="A48" s="40" t="str">
        <x:v>concentrating.png</x:v>
      </x:c>
      <x:c r="B48" s="40" t="str">
        <x:v>Student portrait</x:v>
      </x:c>
      <x:c r="C48" s="40" t="str">
        <x:v>S5: Hallucination Hunt</x:v>
      </x:c>
      <x:c r="D48" s="40" t="str">
        <x:v>assets/images/characters/students/samira/concentrating.png</x:v>
      </x:c>
      <x:c r="E48" s="40" t="str">
        <x:v>Not Started</x:v>
      </x:c>
      <x:c r="F48" s="40" t="str">
        <x:v>Medium</x:v>
      </x:c>
      <x:c r="G48" s="40" t="str"/>
      <x:c r="H48" s="40" t="str">
        <x:v>She/her. First-generation Native American learner from or near Browning; low-income and resourceful.</x:v>
      </x:c>
    </x:row>
    <x:row r="49">
      <x:c r="A49" s="40" t="str">
        <x:v>disappointed.png</x:v>
      </x:c>
      <x:c r="B49" s="40" t="str">
        <x:v>Student portrait</x:v>
      </x:c>
      <x:c r="C49" s="40" t="str">
        <x:v>S5: Hallucination Hunt</x:v>
      </x:c>
      <x:c r="D49" s="40" t="str">
        <x:v>assets/images/characters/students/samira/disappointed.png</x:v>
      </x:c>
      <x:c r="E49" s="40" t="str">
        <x:v>Not Started</x:v>
      </x:c>
      <x:c r="F49" s="40" t="str">
        <x:v>Medium</x:v>
      </x:c>
      <x:c r="G49" s="40" t="str"/>
      <x:c r="H49" s="40" t="str">
        <x:v>She/her. First-generation Native American learner from or near Browning; low-income and resourceful.</x:v>
      </x:c>
    </x:row>
    <x:row r="50">
      <x:c r="A50" s="40" t="str">
        <x:v>satisfied.png</x:v>
      </x:c>
      <x:c r="B50" s="40" t="str">
        <x:v>Student portrait</x:v>
      </x:c>
      <x:c r="C50" s="40" t="str">
        <x:v>S5: Hallucination Hunt</x:v>
      </x:c>
      <x:c r="D50" s="40" t="str">
        <x:v>assets/images/characters/students/samira/satisfied.png</x:v>
      </x:c>
      <x:c r="E50" s="40" t="str">
        <x:v>Not Started</x:v>
      </x:c>
      <x:c r="F50" s="40" t="str">
        <x:v>Medium</x:v>
      </x:c>
      <x:c r="G50" s="40" t="str"/>
      <x:c r="H50" s="40" t="str">
        <x:v>She/her. First-generation Native American learner from or near Browning; low-income and resourceful.</x:v>
      </x:c>
    </x:row>
    <x:row r="51">
      <x:c r="A51" s="40" t="str">
        <x:v>concept-sheet.png</x:v>
      </x:c>
      <x:c r="B51" s="40" t="str">
        <x:v>Character reference</x:v>
      </x:c>
      <x:c r="C51" s="40" t="str">
        <x:v>Devon design development</x:v>
      </x:c>
      <x:c r="D51" s="40" t="str">
        <x:v>assets/images/characters/students/devon/references/concept-sheet.png</x:v>
      </x:c>
      <x:c r="E51" s="40" t="str">
        <x:v>Reference Only</x:v>
      </x:c>
      <x:c r="F51" s="40" t="str">
        <x:v>Medium</x:v>
      </x:c>
      <x:c r="G51" s="40" t="str"/>
      <x:c r="H51" s="40" t="str">
        <x:v>Development reference only; not loaded by the application.</x:v>
      </x:c>
    </x:row>
    <x:row r="52">
      <x:c r="A52" s="40" t="str">
        <x:v>neutral.png</x:v>
      </x:c>
      <x:c r="B52" s="40" t="str">
        <x:v>Student portrait</x:v>
      </x:c>
      <x:c r="C52" s="40" t="str">
        <x:v>S6: Predict the Output</x:v>
      </x:c>
      <x:c r="D52" s="40" t="str">
        <x:v>assets/images/characters/students/devon/neutral.png</x:v>
      </x:c>
      <x:c r="E52" s="40" t="str">
        <x:v>Not Started</x:v>
      </x:c>
      <x:c r="F52" s="40" t="str">
        <x:v>Medium</x:v>
      </x:c>
      <x:c r="G52" s="40" t="str"/>
      <x:c r="H52" s="40" t="str">
        <x:v>He/him. Social-media fluent but challenged by institutional technology; may be dyslexic and/or autistic.</x:v>
      </x:c>
    </x:row>
    <x:row r="53">
      <x:c r="A53" s="40" t="str">
        <x:v>confident.png</x:v>
      </x:c>
      <x:c r="B53" s="40" t="str">
        <x:v>Student portrait</x:v>
      </x:c>
      <x:c r="C53" s="40" t="str">
        <x:v>S6: Predict the Output</x:v>
      </x:c>
      <x:c r="D53" s="40" t="str">
        <x:v>assets/images/characters/students/devon/confident.png</x:v>
      </x:c>
      <x:c r="E53" s="40" t="str">
        <x:v>Not Started</x:v>
      </x:c>
      <x:c r="F53" s="40" t="str">
        <x:v>Medium</x:v>
      </x:c>
      <x:c r="G53" s="40" t="str"/>
      <x:c r="H53" s="40" t="str">
        <x:v>He/him. Social-media fluent but challenged by institutional technology; may be dyslexic and/or autistic.</x:v>
      </x:c>
    </x:row>
    <x:row r="54">
      <x:c r="A54" s="40" t="str">
        <x:v>skeptical.png</x:v>
      </x:c>
      <x:c r="B54" s="40" t="str">
        <x:v>Student portrait</x:v>
      </x:c>
      <x:c r="C54" s="40" t="str">
        <x:v>S6: Predict the Output</x:v>
      </x:c>
      <x:c r="D54" s="40" t="str">
        <x:v>assets/images/characters/students/devon/skeptical.png</x:v>
      </x:c>
      <x:c r="E54" s="40" t="str">
        <x:v>Not Started</x:v>
      </x:c>
      <x:c r="F54" s="40" t="str">
        <x:v>Medium</x:v>
      </x:c>
      <x:c r="G54" s="40" t="str"/>
      <x:c r="H54" s="40" t="str">
        <x:v>He/him. Social-media fluent but challenged by institutional technology; may be dyslexic and/or autistic.</x:v>
      </x:c>
    </x:row>
    <x:row r="55">
      <x:c r="A55" s="40" t="str">
        <x:v>overwhelmed.png</x:v>
      </x:c>
      <x:c r="B55" s="40" t="str">
        <x:v>Student portrait</x:v>
      </x:c>
      <x:c r="C55" s="40" t="str">
        <x:v>S6: Predict the Output</x:v>
      </x:c>
      <x:c r="D55" s="40" t="str">
        <x:v>assets/images/characters/students/devon/overwhelmed.png</x:v>
      </x:c>
      <x:c r="E55" s="40" t="str">
        <x:v>Not Started</x:v>
      </x:c>
      <x:c r="F55" s="40" t="str">
        <x:v>Medium</x:v>
      </x:c>
      <x:c r="G55" s="40" t="str"/>
      <x:c r="H55" s="40" t="str">
        <x:v>He/him. Social-media fluent but challenged by institutional technology; may be dyslexic and/or autistic.</x:v>
      </x:c>
    </x:row>
    <x:row r="56">
      <x:c r="A56" s="40" t="str">
        <x:v>irritated.png</x:v>
      </x:c>
      <x:c r="B56" s="40" t="str">
        <x:v>Student portrait</x:v>
      </x:c>
      <x:c r="C56" s="40" t="str">
        <x:v>S6: Predict the Output</x:v>
      </x:c>
      <x:c r="D56" s="40" t="str">
        <x:v>assets/images/characters/students/devon/irritated.png</x:v>
      </x:c>
      <x:c r="E56" s="40" t="str">
        <x:v>Not Started</x:v>
      </x:c>
      <x:c r="F56" s="40" t="str">
        <x:v>Medium</x:v>
      </x:c>
      <x:c r="G56" s="40" t="str"/>
      <x:c r="H56" s="40" t="str">
        <x:v>He/him. Social-media fluent but challenged by institutional technology; may be dyslexic and/or autistic.</x:v>
      </x:c>
    </x:row>
    <x:row r="57">
      <x:c r="A57" s="40" t="str">
        <x:v>relieved.png</x:v>
      </x:c>
      <x:c r="B57" s="40" t="str">
        <x:v>Student portrait</x:v>
      </x:c>
      <x:c r="C57" s="40" t="str">
        <x:v>S6: Predict the Output</x:v>
      </x:c>
      <x:c r="D57" s="40" t="str">
        <x:v>assets/images/characters/students/devon/relieved.png</x:v>
      </x:c>
      <x:c r="E57" s="40" t="str">
        <x:v>Not Started</x:v>
      </x:c>
      <x:c r="F57" s="40" t="str">
        <x:v>Medium</x:v>
      </x:c>
      <x:c r="G57" s="40" t="str"/>
      <x:c r="H57" s="40" t="str">
        <x:v>He/him. Social-media fluent but challenged by institutional technology; may be dyslexic and/or autistic.</x:v>
      </x:c>
    </x:row>
    <x:row r="58">
      <x:c r="A58" s="40" t="str">
        <x:v>concept-sheet.png</x:v>
      </x:c>
      <x:c r="B58" s="40" t="str">
        <x:v>Character reference</x:v>
      </x:c>
      <x:c r="C58" s="40" t="str">
        <x:v>Lena design development</x:v>
      </x:c>
      <x:c r="D58" s="40" t="str">
        <x:v>assets/images/characters/students/lena/references/concept-sheet.png</x:v>
      </x:c>
      <x:c r="E58" s="40" t="str">
        <x:v>Reference Only</x:v>
      </x:c>
      <x:c r="F58" s="40" t="str">
        <x:v>Medium</x:v>
      </x:c>
      <x:c r="G58" s="40" t="str"/>
      <x:c r="H58" s="40" t="str">
        <x:v>Development reference only; not loaded by the application.</x:v>
      </x:c>
    </x:row>
    <x:row r="59">
      <x:c r="A59" s="40" t="str">
        <x:v>neutral.png</x:v>
      </x:c>
      <x:c r="B59" s="40" t="str">
        <x:v>Student portrait</x:v>
      </x:c>
      <x:c r="C59" s="40" t="str">
        <x:v>S7: Overreliance</x:v>
      </x:c>
      <x:c r="D59" s="40" t="str">
        <x:v>assets/images/characters/students/lena/neutral.png</x:v>
      </x:c>
      <x:c r="E59" s="40" t="str">
        <x:v>Not Started</x:v>
      </x:c>
      <x:c r="F59" s="40" t="str">
        <x:v>Medium</x:v>
      </x:c>
      <x:c r="G59" s="40" t="str"/>
      <x:c r="H59" s="40" t="str">
        <x:v>She/her. Dual-enrollment high school student with a giant iced coffee and matcha.</x:v>
      </x:c>
    </x:row>
    <x:row r="60">
      <x:c r="A60" s="40" t="str">
        <x:v>guarded.png</x:v>
      </x:c>
      <x:c r="B60" s="40" t="str">
        <x:v>Student portrait</x:v>
      </x:c>
      <x:c r="C60" s="40" t="str">
        <x:v>S7: Overreliance</x:v>
      </x:c>
      <x:c r="D60" s="40" t="str">
        <x:v>assets/images/characters/students/lena/guarded.png</x:v>
      </x:c>
      <x:c r="E60" s="40" t="str">
        <x:v>Not Started</x:v>
      </x:c>
      <x:c r="F60" s="40" t="str">
        <x:v>Medium</x:v>
      </x:c>
      <x:c r="G60" s="40" t="str"/>
      <x:c r="H60" s="40" t="str">
        <x:v>She/her. Dual-enrollment high school student with a giant iced coffee and matcha.</x:v>
      </x:c>
    </x:row>
    <x:row r="61">
      <x:c r="A61" s="40" t="str">
        <x:v>uncertain.png</x:v>
      </x:c>
      <x:c r="B61" s="40" t="str">
        <x:v>Student portrait</x:v>
      </x:c>
      <x:c r="C61" s="40" t="str">
        <x:v>S7: Overreliance</x:v>
      </x:c>
      <x:c r="D61" s="40" t="str">
        <x:v>assets/images/characters/students/lena/uncertain.png</x:v>
      </x:c>
      <x:c r="E61" s="40" t="str">
        <x:v>Not Started</x:v>
      </x:c>
      <x:c r="F61" s="40" t="str">
        <x:v>Medium</x:v>
      </x:c>
      <x:c r="G61" s="40" t="str"/>
      <x:c r="H61" s="40" t="str">
        <x:v>She/her. Dual-enrollment high school student with a giant iced coffee and matcha.</x:v>
      </x:c>
    </x:row>
    <x:row r="62">
      <x:c r="A62" s="40" t="str">
        <x:v>frustrated.png</x:v>
      </x:c>
      <x:c r="B62" s="40" t="str">
        <x:v>Student portrait</x:v>
      </x:c>
      <x:c r="C62" s="40" t="str">
        <x:v>S7: Overreliance</x:v>
      </x:c>
      <x:c r="D62" s="40" t="str">
        <x:v>assets/images/characters/students/lena/frustrated.png</x:v>
      </x:c>
      <x:c r="E62" s="40" t="str">
        <x:v>Not Started</x:v>
      </x:c>
      <x:c r="F62" s="40" t="str">
        <x:v>Medium</x:v>
      </x:c>
      <x:c r="G62" s="40" t="str"/>
      <x:c r="H62" s="40" t="str">
        <x:v>She/her. Dual-enrollment high school student with a giant iced coffee and matcha.</x:v>
      </x:c>
    </x:row>
    <x:row r="63">
      <x:c r="A63" s="40" t="str">
        <x:v>inspired.png</x:v>
      </x:c>
      <x:c r="B63" s="40" t="str">
        <x:v>Student portrait</x:v>
      </x:c>
      <x:c r="C63" s="40" t="str">
        <x:v>S7: Overreliance</x:v>
      </x:c>
      <x:c r="D63" s="40" t="str">
        <x:v>assets/images/characters/students/lena/inspired.png</x:v>
      </x:c>
      <x:c r="E63" s="40" t="str">
        <x:v>Not Started</x:v>
      </x:c>
      <x:c r="F63" s="40" t="str">
        <x:v>Medium</x:v>
      </x:c>
      <x:c r="G63" s="40" t="str"/>
      <x:c r="H63" s="40" t="str">
        <x:v>She/her. Dual-enrollment high school student with a giant iced coffee and matcha.</x:v>
      </x:c>
    </x:row>
    <x:row r="64">
      <x:c r="A64" s="40" t="str">
        <x:v>proud.png</x:v>
      </x:c>
      <x:c r="B64" s="40" t="str">
        <x:v>Student portrait</x:v>
      </x:c>
      <x:c r="C64" s="40" t="str">
        <x:v>S7: Overreliance</x:v>
      </x:c>
      <x:c r="D64" s="40" t="str">
        <x:v>assets/images/characters/students/lena/proud.png</x:v>
      </x:c>
      <x:c r="E64" s="40" t="str">
        <x:v>Not Started</x:v>
      </x:c>
      <x:c r="F64" s="40" t="str">
        <x:v>Medium</x:v>
      </x:c>
      <x:c r="G64" s="40" t="str"/>
      <x:c r="H64" s="40" t="str">
        <x:v>She/her. Dual-enrollment high school student with a giant iced coffee and matcha.</x:v>
      </x:c>
    </x:row>
    <x:row r="65">
      <x:c r="A65" s="40" t="str">
        <x:v>s1-science-wing.jpg</x:v>
      </x:c>
      <x:c r="B65" s="40" t="str">
        <x:v>Background</x:v>
      </x:c>
      <x:c r="C65" s="40" t="str">
        <x:v>S1: Engagement VN/workstation</x:v>
      </x:c>
      <x:c r="D65" s="40" t="str">
        <x:v>assets/images/backgrounds/gfc/s1-science-wing.jpg</x:v>
      </x:c>
      <x:c r="E65" s="40" t="str">
        <x:v>In Use</x:v>
      </x:c>
      <x:c r="F65" s="40" t="str">
        <x:v>High</x:v>
      </x:c>
      <x:c r="G65" s="40" t="str"/>
      <x:c r="H65" s="40" t="str">
        <x:v>Current V429 scenario background registry.</x:v>
      </x:c>
    </x:row>
    <x:row r="66">
      <x:c r="A66" s="40" t="str">
        <x:v>s2-study-lounge.jpg</x:v>
      </x:c>
      <x:c r="B66" s="40" t="str">
        <x:v>Background</x:v>
      </x:c>
      <x:c r="C66" s="40" t="str">
        <x:v>S2: Metacognition VN/workstation</x:v>
      </x:c>
      <x:c r="D66" s="40" t="str">
        <x:v>assets/images/backgrounds/gfc/s2-study-lounge.jpg</x:v>
      </x:c>
      <x:c r="E66" s="40" t="str">
        <x:v>In Use</x:v>
      </x:c>
      <x:c r="F66" s="40" t="str">
        <x:v>High</x:v>
      </x:c>
      <x:c r="G66" s="40" t="str"/>
      <x:c r="H66" s="40" t="str">
        <x:v>Current V429 scenario background registry.</x:v>
      </x:c>
    </x:row>
    <x:row r="67">
      <x:c r="A67" s="40" t="str">
        <x:v>babbage-mark.svg</x:v>
      </x:c>
      <x:c r="B67" s="40" t="str">
        <x:v>UI / Babbage</x:v>
      </x:c>
      <x:c r="C67" s="40" t="str">
        <x:v>PromptCraft brand menus and Babbage identity</x:v>
      </x:c>
      <x:c r="D67" s="40" t="str">
        <x:v>assets/images/ui/babbage-mark.svg</x:v>
      </x:c>
      <x:c r="E67" s="40" t="str">
        <x:v>In Use</x:v>
      </x:c>
      <x:c r="F67" s="40" t="str">
        <x:v>High</x:v>
      </x:c>
      <x:c r="G67" s="40" t="str"/>
      <x:c r="H67" s="40" t="str">
        <x:v>Current V429 runtime image; asset-manifest v144.</x:v>
      </x:c>
    </x:row>
    <x:row r="68">
      <x:c r="A68" s="40" t="str">
        <x:v>charles-babbage.png</x:v>
      </x:c>
      <x:c r="B68" s="40" t="str">
        <x:v>UI / Babbage</x:v>
      </x:c>
      <x:c r="C68" s="40" t="str">
        <x:v>Meet Babbage page</x:v>
      </x:c>
      <x:c r="D68" s="40" t="str">
        <x:v>assets/images/ui/charles-babbage.png</x:v>
      </x:c>
      <x:c r="E68" s="40" t="str">
        <x:v>In Use</x:v>
      </x:c>
      <x:c r="F68" s="40" t="str">
        <x:v>Medium</x:v>
      </x:c>
      <x:c r="G68" s="40" t="str"/>
      <x:c r="H68" s="40" t="str">
        <x:v>Current V429 runtime image; asset-manifest v144.</x:v>
      </x:c>
    </x:row>
    <x:row r="69">
      <x:c r="A69" s="40" t="str">
        <x:v>desk-extension.png</x:v>
      </x:c>
      <x:c r="B69" s="40" t="str">
        <x:v>Background</x:v>
      </x:c>
      <x:c r="C69" s="40" t="str">
        <x:v>Shared workstation composition</x:v>
      </x:c>
      <x:c r="D69" s="40" t="str">
        <x:v>assets/images/backgrounds/desk-extension.png</x:v>
      </x:c>
      <x:c r="E69" s="40" t="str">
        <x:v>In Use</x:v>
      </x:c>
      <x:c r="F69" s="40" t="str">
        <x:v>Medium</x:v>
      </x:c>
      <x:c r="G69" s="40" t="str"/>
      <x:c r="H69" s="40" t="str">
        <x:v>Current V429 runtime image; asset-manifest v144.</x:v>
      </x:c>
    </x:row>
    <x:row r="70">
      <x:c r="A70" s="40" t="str">
        <x:v>great-falls-college-logo.jpg</x:v>
      </x:c>
      <x:c r="B70" s="40" t="str">
        <x:v>Brand / Print</x:v>
      </x:c>
      <x:c r="C70" s="40" t="str">
        <x:v>Printable Babbage report</x:v>
      </x:c>
      <x:c r="D70" s="40" t="str">
        <x:v>assets/images/brand/great-falls-college-logo.jpg</x:v>
      </x:c>
      <x:c r="E70" s="40" t="str">
        <x:v>In Use</x:v>
      </x:c>
      <x:c r="F70" s="40" t="str">
        <x:v>Medium</x:v>
      </x:c>
      <x:c r="G70" s="40" t="str"/>
      <x:c r="H70" s="40" t="str">
        <x:v>Current V429 runtime image; print/report use.</x:v>
      </x:c>
    </x:row>
    <x:row r="71">
      <x:c r="A71" s="40" t="str">
        <x:v>babbage-engine.webp</x:v>
      </x:c>
      <x:c r="B71" s="40" t="str">
        <x:v>UI / Babbage</x:v>
      </x:c>
      <x:c r="C71" s="40" t="str">
        <x:v>Teaching Progress panel</x:v>
      </x:c>
      <x:c r="D71" s="40" t="str">
        <x:v>assets/images/ui/babbage-engine.webp</x:v>
      </x:c>
      <x:c r="E71" s="40" t="str">
        <x:v>In Use</x:v>
      </x:c>
      <x:c r="F71" s="40" t="str">
        <x:v>Medium</x:v>
      </x:c>
      <x:c r="G71" s="40" t="str"/>
      <x:c r="H71" s="40" t="str">
        <x:v>Current V429 runtime image; Teaching Progress.</x:v>
      </x:c>
    </x:row>
    <x:row r="72">
      <x:c r="A72" s="40" t="str">
        <x:v>babbage-engine-plate.svg</x:v>
      </x:c>
      <x:c r="B72" s="40" t="str">
        <x:v>UI / Babbage</x:v>
      </x:c>
      <x:c r="C72" s="40" t="str">
        <x:v>Development reference</x:v>
      </x:c>
      <x:c r="D72" s="40" t="str">
        <x:v>assets/images/ui/babbage-engine-plate.svg</x:v>
      </x:c>
      <x:c r="E72" s="40" t="str">
        <x:v>Reference Only</x:v>
      </x:c>
      <x:c r="F72" s="40" t="str">
        <x:v>Low</x:v>
      </x:c>
      <x:c r="G72" s="40" t="str"/>
      <x:c r="H72" s="40" t="str">
        <x:v>Not loaded by the current application.</x:v>
      </x:c>
    </x:row>
    <x:row r="73">
      <x:c r="A73" s="41" t="str">
        <x:v>promptcraft-qr.png</x:v>
      </x:c>
      <x:c r="B73" s="41" t="str">
        <x:v>UI / Utility</x:v>
      </x:c>
      <x:c r="C73" s="41" t="str">
        <x:v>Main menu / Prompt Lab launch</x:v>
      </x:c>
      <x:c r="D73" s="41" t="str">
        <x:v>assets/ui/promptcraft-qr.png</x:v>
      </x:c>
      <x:c r="E73" s="41" t="str">
        <x:v>In Use</x:v>
      </x:c>
      <x:c r="F73" s="41" t="str">
        <x:v>Medium</x:v>
      </x:c>
      <x:c r="G73" s="41" t="str"/>
      <x:c r="H73" s="41" t="str">
        <x:v>Current V429 runtime image; asset-manifest v144.</x:v>
      </x:c>
    </x:row>
  </x:sheetData>
  <x:mergeCells>
    <x:mergeCell ref="A1:H1"/>
    <x:mergeCell ref="A2:H2"/>
  </x:mergeCells>
  <x:conditionalFormatting sqref="E5:E73">
    <x:cfRule type="expression" dxfId="0" priority="1">
      <x:formula>E5="In Use"</x:formula>
    </x:cfRule>
    <x:cfRule type="expression" dxfId="1" priority="2">
      <x:formula>E5="Planned"</x:formula>
    </x:cfRule>
    <x:cfRule type="expression" dxfId="2" priority="3">
      <x:formula>E5="Not Started"</x:formula>
    </x:cfRule>
  </x:conditionalFormatting>
  <x:dataValidations count="3">
    <x:dataValidation type="list" sqref="E5:E73">
      <x:formula1>"In Use,Planned,Not Started,Reference Only,Not Required"</x:formula1>
    </x:dataValidation>
    <x:dataValidation type="list" sqref="F5:F73">
      <x:formula1>"High,Medium,Low"</x:formula1>
    </x:dataValidation>
    <x:dataValidation type="list" sqref="G5:G73">
      <x:formula1>",Yes,No"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2c5900d8504328"/>
  </x:tableParts>
</x:worksheet>
</file>